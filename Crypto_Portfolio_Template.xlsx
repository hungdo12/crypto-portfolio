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nsactions" sheetId="2" state="visible" r:id="rId4"/>
    <sheet name="Portfolio" sheetId="3" state="visible" r:id="rId5"/>
    <sheet name="Alerts" sheetId="4" state="visible" r:id="rId6"/>
    <sheet name="Hướng_Dẫ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<sst xmlns="http://schemas.openxmlformats.org/spreadsheetml/2006/main" count="120" uniqueCount="90">
  <si>
    <t xml:space="preserve">📊 DASHBOARD - QUẢN LÝ ĐẦU TƯ CRYPTO</t>
  </si>
  <si>
    <t xml:space="preserve">💰 Tổng Vốn Đầu Tư</t>
  </si>
  <si>
    <t xml:space="preserve">📈 Giá Trị Hiện Tại</t>
  </si>
  <si>
    <t xml:space="preserve">💵 P&amp;L Tổng</t>
  </si>
  <si>
    <t xml:space="preserve">🎯 ROI %</t>
  </si>
  <si>
    <t xml:space="preserve">🪙 Số Token Đang Giữ</t>
  </si>
  <si>
    <t xml:space="preserve">📝 Tổng Số Giao Dịch</t>
  </si>
  <si>
    <t xml:space="preserve">🌐 PHÂN BỔ THEO MẠNG</t>
  </si>
  <si>
    <t xml:space="preserve">Mạng</t>
  </si>
  <si>
    <t xml:space="preserve">Tổng Giá Trị USD</t>
  </si>
  <si>
    <t xml:space="preserve">% Danh Mục</t>
  </si>
  <si>
    <t xml:space="preserve">ETH</t>
  </si>
  <si>
    <t xml:space="preserve">BSC</t>
  </si>
  <si>
    <t xml:space="preserve">BASE</t>
  </si>
  <si>
    <t xml:space="preserve">SONEIUM</t>
  </si>
  <si>
    <t xml:space="preserve">ARB</t>
  </si>
  <si>
    <t xml:space="preserve">KATANA</t>
  </si>
  <si>
    <t xml:space="preserve">Ngày</t>
  </si>
  <si>
    <t xml:space="preserve">Loại</t>
  </si>
  <si>
    <t xml:space="preserve">Token</t>
  </si>
  <si>
    <t xml:space="preserve">Contract Address</t>
  </si>
  <si>
    <t xml:space="preserve">Số lượng Token</t>
  </si>
  <si>
    <t xml:space="preserve">Giá/Token (USD)</t>
  </si>
  <si>
    <t xml:space="preserve">Tổng giá trị (USD)</t>
  </si>
  <si>
    <t xml:space="preserve">Đồng thanh toán</t>
  </si>
  <si>
    <t xml:space="preserve">Phí Gas (USD)</t>
  </si>
  <si>
    <t xml:space="preserve">Tx Hash</t>
  </si>
  <si>
    <t xml:space="preserve">Ghi chú</t>
  </si>
  <si>
    <t xml:space="preserve">2025-01-15</t>
  </si>
  <si>
    <t xml:space="preserve">BUY</t>
  </si>
  <si>
    <t xml:space="preserve">PEPE</t>
  </si>
  <si>
    <t xml:space="preserve">0x6982508145454ce325ddbe47a25d4ec3d2311933</t>
  </si>
  <si>
    <t xml:space="preserve">USDT</t>
  </si>
  <si>
    <t xml:space="preserve">0xabc...</t>
  </si>
  <si>
    <t xml:space="preserve">DCA lần 1</t>
  </si>
  <si>
    <t xml:space="preserve">2025-02-10</t>
  </si>
  <si>
    <t xml:space="preserve">0xdef...</t>
  </si>
  <si>
    <t xml:space="preserve">DCA lần 2</t>
  </si>
  <si>
    <t xml:space="preserve">2025-03-05</t>
  </si>
  <si>
    <t xml:space="preserve">BRETT</t>
  </si>
  <si>
    <t xml:space="preserve">0x532f27101965dd16442e59d40670faf5ebb142e4</t>
  </si>
  <si>
    <t xml:space="preserve">0xghi...</t>
  </si>
  <si>
    <t xml:space="preserve">Mua mới</t>
  </si>
  <si>
    <t xml:space="preserve">Contract</t>
  </si>
  <si>
    <t xml:space="preserve">Tổng SL Mua</t>
  </si>
  <si>
    <t xml:space="preserve">Tổng SL Bán</t>
  </si>
  <si>
    <t xml:space="preserve">SL Đang Giữ</t>
  </si>
  <si>
    <t xml:space="preserve">Tổng Chi USD</t>
  </si>
  <si>
    <t xml:space="preserve">Giá TB Mua</t>
  </si>
  <si>
    <t xml:space="preserve">Giá Hiện Tại</t>
  </si>
  <si>
    <t xml:space="preserve">Giá Trị Hiện Tại</t>
  </si>
  <si>
    <t xml:space="preserve">P&amp;L USD</t>
  </si>
  <si>
    <t xml:space="preserve">P&amp;L %</t>
  </si>
  <si>
    <t xml:space="preserve">Target Chốt Lời</t>
  </si>
  <si>
    <t xml:space="preserve">Stop Loss</t>
  </si>
  <si>
    <t xml:space="preserve">TỔNG</t>
  </si>
  <si>
    <t xml:space="preserve">Loại Alert</t>
  </si>
  <si>
    <t xml:space="preserve">Giá Trigger</t>
  </si>
  <si>
    <t xml:space="preserve">Trạng Thái</t>
  </si>
  <si>
    <t xml:space="preserve">Lần Cuối Check</t>
  </si>
  <si>
    <t xml:space="preserve">Ghi Chú</t>
  </si>
  <si>
    <t xml:space="preserve">TAKE_PROFIT</t>
  </si>
  <si>
    <t xml:space="preserve">ACTIVE</t>
  </si>
  <si>
    <t xml:space="preserve">Chốt lời x5</t>
  </si>
  <si>
    <t xml:space="preserve">STOP_LOSS</t>
  </si>
  <si>
    <t xml:space="preserve">Cắt lỗ nếu xuống</t>
  </si>
  <si>
    <t xml:space="preserve">Target ATH</t>
  </si>
  <si>
    <t xml:space="preserve">📖 HƯỚNG DẪN SỬ DỤNG</t>
  </si>
  <si>
    <t xml:space="preserve">🎯 MỤC ĐÍCH</t>
  </si>
  <si>
    <t xml:space="preserve">App quản lý danh mục đầu tư crypto: theo dõi giá mua, tính P&amp;L tự động, cảnh báo khi đạt target.</t>
  </si>
  <si>
    <t xml:space="preserve">📋 CÁC SHEET</t>
  </si>
  <si>
    <t xml:space="preserve">1. Dashboard: Xem tổng quan - tự động cập nhật từ các sheet khác</t>
  </si>
  <si>
    <t xml:space="preserve">2. Transactions: Nhập từng giao dịch mua/bán. Mỗi lần mua thêm = 1 dòng mới</t>
  </si>
  <si>
    <t xml:space="preserve">3. Portfolio: Tổng hợp tự động theo token - giá TB, P&amp;L, % danh mục</t>
  </si>
  <si>
    <t xml:space="preserve">4. Alerts: Đặt cảnh báo Telegram khi giá chạm target</t>
  </si>
  <si>
    <t xml:space="preserve">✅ CÁCH NHẬP DỮ LIỆU</t>
  </si>
  <si>
    <t xml:space="preserve">• Ô MÀU XANH = bạn nhập tay</t>
  </si>
  <si>
    <t xml:space="preserve">• Ô MÀU ĐEN = công thức tự tính, KHÔNG sửa</t>
  </si>
  <si>
    <t xml:space="preserve">• Ô MÀU XANH LÁ = link sang sheet khác, KHÔNG sửa</t>
  </si>
  <si>
    <t xml:space="preserve">• Ô NỀN VÀNG = giá hiện tại do bot Python tự cập nhật</t>
  </si>
  <si>
    <t xml:space="preserve">💡 CÔNG THỨC GIÁ TRUNG BÌNH</t>
  </si>
  <si>
    <t xml:space="preserve">Công thức weighted average (trung bình có trọng số):</t>
  </si>
  <si>
    <t xml:space="preserve">Giá TB = TỔNG (Số lượng × Giá mua + Phí gas) ÷ TỔNG Số lượng</t>
  </si>
  <si>
    <t xml:space="preserve">Ví dụ: Mua lần 1: 1M PEPE @ $0.0000085 + phí $5.2 = $13.7</t>
  </si>
  <si>
    <t xml:space="preserve">       Mua lần 2: 500K PEPE @ $0.0000095 + phí $4.8 = $9.55</t>
  </si>
  <si>
    <t xml:space="preserve">       Giá TB = ($13.7 + $9.55) ÷ 1.5M = $0.0000155 / 1000 = $0.0000155</t>
  </si>
  <si>
    <t xml:space="preserve">🤖 BOT PYTHON</t>
  </si>
  <si>
    <t xml:space="preserve">1. Chạy: streamlit run app.py - mở UI để nhập giao dịch nhanh</t>
  </si>
  <si>
    <t xml:space="preserve">2. Chạy: python price_updater.py - update giá real-time mỗi 5 phút</t>
  </si>
  <si>
    <t xml:space="preserve">3. Chạy: python telegram_alert.py - bot cảnh báo khi giá đạt target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</si>
</sst>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\$#,##0.00;[RED]&quot;($&quot;#,##0.00\)"/>
    <numFmt numFmtId="167" formatCode="0.00%;[RED]\(0.00%\)"/>
    <numFmt numFmtId="168" formatCode="0"/>
    <numFmt numFmtId="169" formatCode="0.00%"/>
    <numFmt numFmtId="170" formatCode="#,##0.########"/>
    <numFmt numFmtId="171" formatCode="\$#,##0.0000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b val="true"/>
      <sz val="11"/>
      <color rgb="FF6B7280"/>
      <name val="Arial"/>
      <family val="0"/>
      <charset val="1"/>
    </font>
    <font>
      <b val="true"/>
      <sz val="18"/>
      <color rgb="FF1F2937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374151"/>
      <name val="Arial"/>
      <family val="0"/>
      <charset val="1"/>
    </font>
    <font>
      <b val="true"/>
      <sz val="13"/>
      <color rgb="FF1F293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3F4F6"/>
        <bgColor rgb="FFFFFFFF"/>
      </patternFill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5E7EB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BBF2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BBF24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9.5" hidden="false" customHeight="tru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</row>
    <row r="4" customFormat="false" ht="34.5" hidden="false" customHeight="true" outlineLevel="0" collapsed="false">
      <c r="A4" s="3" t="n">
        <f aca="false">Portfolio!G5</f>
        <v>448.75</v>
      </c>
      <c r="B4" s="3"/>
      <c r="C4" s="3" t="n">
        <f aca="false">Portfolio!J5</f>
        <v>474.25</v>
      </c>
      <c r="D4" s="3"/>
      <c r="E4" s="4" t="n">
        <f aca="false">Portfolio!K5</f>
        <v>25.4999999999999</v>
      </c>
      <c r="F4" s="4"/>
    </row>
    <row r="6" customFormat="false" ht="19.5" hidden="false" customHeight="true" outlineLevel="0" collapsed="false">
      <c r="A6" s="2" t="s">
        <v>4</v>
      </c>
      <c r="B6" s="2"/>
      <c r="C6" s="2" t="s">
        <v>5</v>
      </c>
      <c r="D6" s="2"/>
      <c r="E6" s="2" t="s">
        <v>6</v>
      </c>
      <c r="F6" s="2"/>
    </row>
    <row r="7" customFormat="false" ht="34.5" hidden="false" customHeight="true" outlineLevel="0" collapsed="false">
      <c r="A7" s="5" t="n">
        <f aca="false">Portfolio!L5</f>
        <v>0.0568245125348188</v>
      </c>
      <c r="B7" s="5"/>
      <c r="C7" s="6" t="n">
        <f aca="false">COUNTA(Portfolio!A2:A50)-1</f>
        <v>2</v>
      </c>
      <c r="D7" s="6"/>
      <c r="E7" s="6" t="n">
        <f aca="false">COUNTA(Transactions!A2:A1000)</f>
        <v>3</v>
      </c>
      <c r="F7" s="6"/>
    </row>
    <row r="9" customFormat="false" ht="19.5" hidden="false" customHeight="true" outlineLevel="0" collapsed="false"/>
    <row r="10" customFormat="false" ht="34.5" hidden="false" customHeight="true" outlineLevel="0" collapsed="false"/>
    <row r="11" customFormat="false" ht="16.15" hidden="false" customHeight="false" outlineLevel="0" collapsed="false">
      <c r="A11" s="7" t="s">
        <v>7</v>
      </c>
      <c r="B11" s="7"/>
      <c r="C11" s="7"/>
      <c r="D11" s="7"/>
      <c r="E11" s="7"/>
      <c r="F11" s="7"/>
    </row>
    <row r="12" customFormat="false" ht="15" hidden="false" customHeight="false" outlineLevel="0" collapsed="false">
      <c r="A12" s="8" t="s">
        <v>8</v>
      </c>
      <c r="B12" s="8" t="s">
        <v>9</v>
      </c>
      <c r="C12" s="8" t="s">
        <v>10</v>
      </c>
    </row>
    <row r="13" customFormat="false" ht="15" hidden="false" customHeight="false" outlineLevel="0" collapsed="false">
      <c r="A13" s="9" t="s">
        <v>11</v>
      </c>
      <c r="B13" s="10" t="n">
        <f aca="false">SUMIFS(Portfolio!J:J,Portfolio!B:B,A13)</f>
        <v>14.25</v>
      </c>
      <c r="C13" s="11" t="n">
        <f aca="false">IFERROR(B13/SUM($B$13:$B$18),0)</f>
        <v>0.0300474433315762</v>
      </c>
    </row>
    <row r="14" customFormat="false" ht="15" hidden="false" customHeight="false" outlineLevel="0" collapsed="false">
      <c r="A14" s="9" t="s">
        <v>12</v>
      </c>
      <c r="B14" s="10" t="n">
        <f aca="false">SUMIFS(Portfolio!J:J,Portfolio!B:B,A14)</f>
        <v>0</v>
      </c>
      <c r="C14" s="11" t="n">
        <f aca="false">IFERROR(B14/SUM($B$13:$B$18),0)</f>
        <v>0</v>
      </c>
    </row>
    <row r="15" customFormat="false" ht="15" hidden="false" customHeight="false" outlineLevel="0" collapsed="false">
      <c r="A15" s="9" t="s">
        <v>13</v>
      </c>
      <c r="B15" s="10" t="n">
        <f aca="false">SUMIFS(Portfolio!J:J,Portfolio!B:B,A15)</f>
        <v>460</v>
      </c>
      <c r="C15" s="11" t="n">
        <f aca="false">IFERROR(B15/SUM($B$13:$B$18),0)</f>
        <v>0.969952556668424</v>
      </c>
    </row>
    <row r="16" customFormat="false" ht="15" hidden="false" customHeight="false" outlineLevel="0" collapsed="false">
      <c r="A16" s="9" t="s">
        <v>14</v>
      </c>
      <c r="B16" s="10" t="n">
        <f aca="false">SUMIFS(Portfolio!J:J,Portfolio!B:B,A16)</f>
        <v>0</v>
      </c>
      <c r="C16" s="11" t="n">
        <f aca="false">IFERROR(B16/SUM($B$13:$B$18),0)</f>
        <v>0</v>
      </c>
    </row>
    <row r="17" customFormat="false" ht="15" hidden="false" customHeight="false" outlineLevel="0" collapsed="false">
      <c r="A17" s="9" t="s">
        <v>15</v>
      </c>
      <c r="B17" s="10" t="n">
        <f aca="false">SUMIFS(Portfolio!J:J,Portfolio!B:B,A17)</f>
        <v>0</v>
      </c>
      <c r="C17" s="11" t="n">
        <f aca="false">IFERROR(B17/SUM($B$13:$B$18),0)</f>
        <v>0</v>
      </c>
    </row>
    <row r="18" customFormat="false" ht="15" hidden="false" customHeight="false" outlineLevel="0" collapsed="false">
      <c r="A18" s="9" t="s">
        <v>16</v>
      </c>
      <c r="B18" s="10" t="n">
        <f aca="false">SUMIFS(Portfolio!J:J,Portfolio!B:B,A18)</f>
        <v>0</v>
      </c>
      <c r="C18" s="11" t="n">
        <f aca="false">IFERROR(B18/SUM($B$13:$B$18),0)</f>
        <v>0</v>
      </c>
    </row>
  </sheetData>
  <mergeCells count="14">
    <mergeCell ref="A1:F1"/>
    <mergeCell ref="A3:B3"/>
    <mergeCell ref="C3:D3"/>
    <mergeCell ref="E3:F3"/>
    <mergeCell ref="A4:B4"/>
    <mergeCell ref="C4:D4"/>
    <mergeCell ref="E4:F4"/>
    <mergeCell ref="A6:B6"/>
    <mergeCell ref="C6:D6"/>
    <mergeCell ref="E6:F6"/>
    <mergeCell ref="A7:B7"/>
    <mergeCell ref="C7:D7"/>
    <mergeCell ref="E7:F7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45"/>
    <col collapsed="false" customWidth="true" hidden="false" outlineLevel="0" max="8" min="6" style="0" width="15"/>
    <col collapsed="false" customWidth="true" hidden="false" outlineLevel="0" max="10" min="9" style="0" width="12"/>
    <col collapsed="false" customWidth="true" hidden="false" outlineLevel="0" max="11" min="11" style="0" width="20"/>
    <col collapsed="false" customWidth="true" hidden="false" outlineLevel="0" max="12" min="12" style="0" width="25"/>
  </cols>
  <sheetData>
    <row r="1" customFormat="false" ht="26.85" hidden="false" customHeight="false" outlineLevel="0" collapsed="false">
      <c r="A1" s="12" t="s">
        <v>17</v>
      </c>
      <c r="B1" s="12" t="s">
        <v>18</v>
      </c>
      <c r="C1" s="12" t="s">
        <v>19</v>
      </c>
      <c r="D1" s="12" t="s">
        <v>8</v>
      </c>
      <c r="E1" s="12" t="s">
        <v>20</v>
      </c>
      <c r="F1" s="12" t="s">
        <v>21</v>
      </c>
      <c r="G1" s="12" t="s">
        <v>22</v>
      </c>
      <c r="H1" s="12" t="s">
        <v>23</v>
      </c>
      <c r="I1" s="12" t="s">
        <v>24</v>
      </c>
      <c r="J1" s="12" t="s">
        <v>25</v>
      </c>
      <c r="K1" s="12" t="s">
        <v>26</v>
      </c>
      <c r="L1" s="12" t="s">
        <v>27</v>
      </c>
    </row>
    <row r="2" customFormat="false" ht="15" hidden="false" customHeight="false" outlineLevel="0" collapsed="false">
      <c r="A2" s="13" t="s">
        <v>28</v>
      </c>
      <c r="B2" s="13" t="s">
        <v>29</v>
      </c>
      <c r="C2" s="13" t="s">
        <v>30</v>
      </c>
      <c r="D2" s="13" t="s">
        <v>11</v>
      </c>
      <c r="E2" s="13" t="s">
        <v>31</v>
      </c>
      <c r="F2" s="14" t="n">
        <v>1000000</v>
      </c>
      <c r="G2" s="15" t="n">
        <v>8.5E-006</v>
      </c>
      <c r="H2" s="16" t="n">
        <f aca="false">F2*G2</f>
        <v>8.5</v>
      </c>
      <c r="I2" s="13" t="s">
        <v>32</v>
      </c>
      <c r="J2" s="17" t="n">
        <v>5.2</v>
      </c>
      <c r="K2" s="13" t="s">
        <v>33</v>
      </c>
      <c r="L2" s="13" t="s">
        <v>34</v>
      </c>
    </row>
    <row r="3" customFormat="false" ht="15" hidden="false" customHeight="false" outlineLevel="0" collapsed="false">
      <c r="A3" s="13" t="s">
        <v>35</v>
      </c>
      <c r="B3" s="13" t="s">
        <v>29</v>
      </c>
      <c r="C3" s="13" t="s">
        <v>30</v>
      </c>
      <c r="D3" s="13" t="s">
        <v>11</v>
      </c>
      <c r="E3" s="13" t="s">
        <v>31</v>
      </c>
      <c r="F3" s="14" t="n">
        <v>500000</v>
      </c>
      <c r="G3" s="15" t="n">
        <v>9.5E-006</v>
      </c>
      <c r="H3" s="16" t="n">
        <f aca="false">F3*G3</f>
        <v>4.75</v>
      </c>
      <c r="I3" s="13" t="s">
        <v>32</v>
      </c>
      <c r="J3" s="17" t="n">
        <v>4.8</v>
      </c>
      <c r="K3" s="13" t="s">
        <v>36</v>
      </c>
      <c r="L3" s="13" t="s">
        <v>37</v>
      </c>
    </row>
    <row r="4" customFormat="false" ht="15" hidden="false" customHeight="false" outlineLevel="0" collapsed="false">
      <c r="A4" s="13" t="s">
        <v>38</v>
      </c>
      <c r="B4" s="13" t="s">
        <v>29</v>
      </c>
      <c r="C4" s="13" t="s">
        <v>39</v>
      </c>
      <c r="D4" s="13" t="s">
        <v>13</v>
      </c>
      <c r="E4" s="13" t="s">
        <v>40</v>
      </c>
      <c r="F4" s="14" t="n">
        <v>5000</v>
      </c>
      <c r="G4" s="15" t="n">
        <v>0.085</v>
      </c>
      <c r="H4" s="16" t="n">
        <f aca="false">F4*G4</f>
        <v>425</v>
      </c>
      <c r="I4" s="13" t="s">
        <v>32</v>
      </c>
      <c r="J4" s="17" t="n">
        <v>0.5</v>
      </c>
      <c r="K4" s="13" t="s">
        <v>41</v>
      </c>
      <c r="L4" s="13" t="s">
        <v>42</v>
      </c>
    </row>
    <row r="5" customFormat="false" ht="15" hidden="false" customHeight="false" outlineLevel="0" collapsed="false">
      <c r="F5" s="18"/>
      <c r="G5" s="19"/>
      <c r="H5" s="20"/>
      <c r="J5" s="20"/>
    </row>
    <row r="6" customFormat="false" ht="15" hidden="false" customHeight="false" outlineLevel="0" collapsed="false">
      <c r="F6" s="18"/>
      <c r="G6" s="19"/>
      <c r="H6" s="20"/>
      <c r="J6" s="20"/>
    </row>
    <row r="7" customFormat="false" ht="15" hidden="false" customHeight="false" outlineLevel="0" collapsed="false">
      <c r="F7" s="18"/>
      <c r="G7" s="19"/>
      <c r="H7" s="20"/>
      <c r="J7" s="20"/>
    </row>
    <row r="8" customFormat="false" ht="15" hidden="false" customHeight="false" outlineLevel="0" collapsed="false">
      <c r="F8" s="18"/>
      <c r="G8" s="19"/>
      <c r="H8" s="20"/>
      <c r="J8" s="20"/>
    </row>
    <row r="9" customFormat="false" ht="15" hidden="false" customHeight="false" outlineLevel="0" collapsed="false">
      <c r="F9" s="18"/>
      <c r="G9" s="19"/>
      <c r="H9" s="20"/>
      <c r="J9" s="20"/>
    </row>
    <row r="10" customFormat="false" ht="15" hidden="false" customHeight="false" outlineLevel="0" collapsed="false">
      <c r="F10" s="18"/>
      <c r="G10" s="19"/>
      <c r="H10" s="20"/>
      <c r="J10" s="20"/>
    </row>
    <row r="11" customFormat="false" ht="15" hidden="false" customHeight="false" outlineLevel="0" collapsed="false">
      <c r="F11" s="18"/>
      <c r="G11" s="19"/>
      <c r="H11" s="20"/>
      <c r="J11" s="20"/>
    </row>
    <row r="12" customFormat="false" ht="15" hidden="false" customHeight="false" outlineLevel="0" collapsed="false">
      <c r="F12" s="18"/>
      <c r="G12" s="19"/>
      <c r="H12" s="20"/>
      <c r="J12" s="20"/>
    </row>
    <row r="13" customFormat="false" ht="15" hidden="false" customHeight="false" outlineLevel="0" collapsed="false">
      <c r="F13" s="18"/>
      <c r="G13" s="19"/>
      <c r="H13" s="20"/>
      <c r="J13" s="20"/>
    </row>
    <row r="14" customFormat="false" ht="15" hidden="false" customHeight="false" outlineLevel="0" collapsed="false">
      <c r="F14" s="18"/>
      <c r="G14" s="19"/>
      <c r="H14" s="20"/>
      <c r="J14" s="20"/>
    </row>
    <row r="15" customFormat="false" ht="15" hidden="false" customHeight="false" outlineLevel="0" collapsed="false">
      <c r="F15" s="18"/>
      <c r="G15" s="19"/>
      <c r="H15" s="20"/>
      <c r="J15" s="20"/>
    </row>
    <row r="16" customFormat="false" ht="15" hidden="false" customHeight="false" outlineLevel="0" collapsed="false">
      <c r="F16" s="18"/>
      <c r="G16" s="19"/>
      <c r="H16" s="20"/>
      <c r="J16" s="20"/>
    </row>
    <row r="17" customFormat="false" ht="15" hidden="false" customHeight="false" outlineLevel="0" collapsed="false">
      <c r="F17" s="18"/>
      <c r="G17" s="19"/>
      <c r="H17" s="20"/>
      <c r="J17" s="20"/>
    </row>
    <row r="18" customFormat="false" ht="15" hidden="false" customHeight="false" outlineLevel="0" collapsed="false">
      <c r="F18" s="18"/>
      <c r="G18" s="19"/>
      <c r="H18" s="20"/>
      <c r="J18" s="20"/>
    </row>
    <row r="19" customFormat="false" ht="15" hidden="false" customHeight="false" outlineLevel="0" collapsed="false">
      <c r="F19" s="18"/>
      <c r="G19" s="19"/>
      <c r="H19" s="20"/>
      <c r="J19" s="20"/>
    </row>
    <row r="20" customFormat="false" ht="15" hidden="false" customHeight="false" outlineLevel="0" collapsed="false">
      <c r="F20" s="18"/>
      <c r="G20" s="19"/>
      <c r="H20" s="20"/>
      <c r="J20" s="20"/>
    </row>
    <row r="21" customFormat="false" ht="15" hidden="false" customHeight="false" outlineLevel="0" collapsed="false">
      <c r="F21" s="18"/>
      <c r="G21" s="19"/>
      <c r="H21" s="20"/>
      <c r="J21" s="20"/>
    </row>
    <row r="22" customFormat="false" ht="15" hidden="false" customHeight="false" outlineLevel="0" collapsed="false">
      <c r="F22" s="18"/>
      <c r="G22" s="19"/>
      <c r="H22" s="20"/>
      <c r="J22" s="20"/>
    </row>
    <row r="23" customFormat="false" ht="15" hidden="false" customHeight="false" outlineLevel="0" collapsed="false">
      <c r="F23" s="18"/>
      <c r="G23" s="19"/>
      <c r="H23" s="20"/>
      <c r="J23" s="20"/>
    </row>
    <row r="24" customFormat="false" ht="15" hidden="false" customHeight="false" outlineLevel="0" collapsed="false">
      <c r="F24" s="18"/>
      <c r="G24" s="19"/>
      <c r="H24" s="20"/>
      <c r="J24" s="20"/>
    </row>
    <row r="25" customFormat="false" ht="15" hidden="false" customHeight="false" outlineLevel="0" collapsed="false">
      <c r="F25" s="18"/>
      <c r="G25" s="19"/>
      <c r="H25" s="20"/>
      <c r="J25" s="20"/>
    </row>
    <row r="26" customFormat="false" ht="15" hidden="false" customHeight="false" outlineLevel="0" collapsed="false">
      <c r="F26" s="18"/>
      <c r="G26" s="19"/>
      <c r="H26" s="20"/>
      <c r="J26" s="20"/>
    </row>
    <row r="27" customFormat="false" ht="15" hidden="false" customHeight="false" outlineLevel="0" collapsed="false">
      <c r="F27" s="18"/>
      <c r="G27" s="19"/>
      <c r="H27" s="20"/>
      <c r="J27" s="20"/>
    </row>
    <row r="28" customFormat="false" ht="15" hidden="false" customHeight="false" outlineLevel="0" collapsed="false">
      <c r="F28" s="18"/>
      <c r="G28" s="19"/>
      <c r="H28" s="20"/>
      <c r="J28" s="20"/>
    </row>
    <row r="29" customFormat="false" ht="15" hidden="false" customHeight="false" outlineLevel="0" collapsed="false">
      <c r="F29" s="18"/>
      <c r="G29" s="19"/>
      <c r="H29" s="20"/>
      <c r="J29" s="20"/>
    </row>
    <row r="30" customFormat="false" ht="15" hidden="false" customHeight="false" outlineLevel="0" collapsed="false">
      <c r="F30" s="18"/>
      <c r="G30" s="19"/>
      <c r="H30" s="20"/>
      <c r="J30" s="20"/>
    </row>
    <row r="31" customFormat="false" ht="15" hidden="false" customHeight="false" outlineLevel="0" collapsed="false">
      <c r="F31" s="18"/>
      <c r="G31" s="19"/>
      <c r="H31" s="20"/>
      <c r="J31" s="20"/>
    </row>
    <row r="32" customFormat="false" ht="15" hidden="false" customHeight="false" outlineLevel="0" collapsed="false">
      <c r="F32" s="18"/>
      <c r="G32" s="19"/>
      <c r="H32" s="20"/>
      <c r="J32" s="20"/>
    </row>
    <row r="33" customFormat="false" ht="15" hidden="false" customHeight="false" outlineLevel="0" collapsed="false">
      <c r="F33" s="18"/>
      <c r="G33" s="19"/>
      <c r="H33" s="20"/>
      <c r="J33" s="20"/>
    </row>
    <row r="34" customFormat="false" ht="15" hidden="false" customHeight="false" outlineLevel="0" collapsed="false">
      <c r="F34" s="18"/>
      <c r="G34" s="19"/>
      <c r="H34" s="20"/>
      <c r="J34" s="20"/>
    </row>
    <row r="35" customFormat="false" ht="15" hidden="false" customHeight="false" outlineLevel="0" collapsed="false">
      <c r="F35" s="18"/>
      <c r="G35" s="19"/>
      <c r="H35" s="20"/>
      <c r="J35" s="20"/>
    </row>
    <row r="36" customFormat="false" ht="15" hidden="false" customHeight="false" outlineLevel="0" collapsed="false">
      <c r="F36" s="18"/>
      <c r="G36" s="19"/>
      <c r="H36" s="20"/>
      <c r="J36" s="20"/>
    </row>
    <row r="37" customFormat="false" ht="15" hidden="false" customHeight="false" outlineLevel="0" collapsed="false">
      <c r="F37" s="18"/>
      <c r="G37" s="19"/>
      <c r="H37" s="20"/>
      <c r="J37" s="20"/>
    </row>
    <row r="38" customFormat="false" ht="15" hidden="false" customHeight="false" outlineLevel="0" collapsed="false">
      <c r="F38" s="18"/>
      <c r="G38" s="19"/>
      <c r="H38" s="20"/>
      <c r="J38" s="20"/>
    </row>
    <row r="39" customFormat="false" ht="15" hidden="false" customHeight="false" outlineLevel="0" collapsed="false">
      <c r="F39" s="18"/>
      <c r="G39" s="19"/>
      <c r="H39" s="20"/>
      <c r="J39" s="20"/>
    </row>
    <row r="40" customFormat="false" ht="15" hidden="false" customHeight="false" outlineLevel="0" collapsed="false">
      <c r="F40" s="18"/>
      <c r="G40" s="19"/>
      <c r="H40" s="20"/>
      <c r="J40" s="20"/>
    </row>
    <row r="41" customFormat="false" ht="15" hidden="false" customHeight="false" outlineLevel="0" collapsed="false">
      <c r="F41" s="18"/>
      <c r="G41" s="19"/>
      <c r="H41" s="20"/>
      <c r="J41" s="20"/>
    </row>
    <row r="42" customFormat="false" ht="15" hidden="false" customHeight="false" outlineLevel="0" collapsed="false">
      <c r="F42" s="18"/>
      <c r="G42" s="19"/>
      <c r="H42" s="20"/>
      <c r="J42" s="20"/>
    </row>
    <row r="43" customFormat="false" ht="15" hidden="false" customHeight="false" outlineLevel="0" collapsed="false">
      <c r="F43" s="18"/>
      <c r="G43" s="19"/>
      <c r="H43" s="20"/>
      <c r="J43" s="20"/>
    </row>
    <row r="44" customFormat="false" ht="15" hidden="false" customHeight="false" outlineLevel="0" collapsed="false">
      <c r="F44" s="18"/>
      <c r="G44" s="19"/>
      <c r="H44" s="20"/>
      <c r="J44" s="20"/>
    </row>
    <row r="45" customFormat="false" ht="15" hidden="false" customHeight="false" outlineLevel="0" collapsed="false">
      <c r="F45" s="18"/>
      <c r="G45" s="19"/>
      <c r="H45" s="20"/>
      <c r="J45" s="20"/>
    </row>
    <row r="46" customFormat="false" ht="15" hidden="false" customHeight="false" outlineLevel="0" collapsed="false">
      <c r="F46" s="18"/>
      <c r="G46" s="19"/>
      <c r="H46" s="20"/>
      <c r="J46" s="20"/>
    </row>
    <row r="47" customFormat="false" ht="15" hidden="false" customHeight="false" outlineLevel="0" collapsed="false">
      <c r="F47" s="18"/>
      <c r="G47" s="19"/>
      <c r="H47" s="20"/>
      <c r="J47" s="20"/>
    </row>
    <row r="48" customFormat="false" ht="15" hidden="false" customHeight="false" outlineLevel="0" collapsed="false">
      <c r="F48" s="18"/>
      <c r="G48" s="19"/>
      <c r="H48" s="20"/>
      <c r="J48" s="20"/>
    </row>
    <row r="49" customFormat="false" ht="15" hidden="false" customHeight="false" outlineLevel="0" collapsed="false">
      <c r="F49" s="18"/>
      <c r="G49" s="19"/>
      <c r="H49" s="20"/>
      <c r="J49" s="20"/>
    </row>
    <row r="50" customFormat="false" ht="15" hidden="false" customHeight="false" outlineLevel="0" collapsed="false">
      <c r="F50" s="18"/>
      <c r="G50" s="19"/>
      <c r="H50" s="20"/>
      <c r="J50" s="20"/>
    </row>
    <row r="51" customFormat="false" ht="15" hidden="false" customHeight="false" outlineLevel="0" collapsed="false">
      <c r="F51" s="18"/>
      <c r="G51" s="19"/>
      <c r="H51" s="20"/>
      <c r="J51" s="20"/>
    </row>
    <row r="52" customFormat="false" ht="15" hidden="false" customHeight="false" outlineLevel="0" collapsed="false">
      <c r="F52" s="18"/>
      <c r="G52" s="19"/>
      <c r="H52" s="20"/>
      <c r="J52" s="20"/>
    </row>
    <row r="53" customFormat="false" ht="15" hidden="false" customHeight="false" outlineLevel="0" collapsed="false">
      <c r="F53" s="18"/>
      <c r="G53" s="19"/>
      <c r="H53" s="20"/>
      <c r="J53" s="20"/>
    </row>
    <row r="54" customFormat="false" ht="15" hidden="false" customHeight="false" outlineLevel="0" collapsed="false">
      <c r="F54" s="18"/>
      <c r="G54" s="19"/>
      <c r="H54" s="20"/>
      <c r="J54" s="20"/>
    </row>
    <row r="55" customFormat="false" ht="15" hidden="false" customHeight="false" outlineLevel="0" collapsed="false">
      <c r="F55" s="18"/>
      <c r="G55" s="19"/>
      <c r="H55" s="20"/>
      <c r="J55" s="20"/>
    </row>
    <row r="56" customFormat="false" ht="15" hidden="false" customHeight="false" outlineLevel="0" collapsed="false">
      <c r="F56" s="18"/>
      <c r="G56" s="19"/>
      <c r="H56" s="20"/>
      <c r="J56" s="20"/>
    </row>
    <row r="57" customFormat="false" ht="15" hidden="false" customHeight="false" outlineLevel="0" collapsed="false">
      <c r="F57" s="18"/>
      <c r="G57" s="19"/>
      <c r="H57" s="20"/>
      <c r="J57" s="20"/>
    </row>
    <row r="58" customFormat="false" ht="15" hidden="false" customHeight="false" outlineLevel="0" collapsed="false">
      <c r="F58" s="18"/>
      <c r="G58" s="19"/>
      <c r="H58" s="20"/>
      <c r="J58" s="20"/>
    </row>
    <row r="59" customFormat="false" ht="15" hidden="false" customHeight="false" outlineLevel="0" collapsed="false">
      <c r="F59" s="18"/>
      <c r="G59" s="19"/>
      <c r="H59" s="20"/>
      <c r="J59" s="20"/>
    </row>
    <row r="60" customFormat="false" ht="15" hidden="false" customHeight="false" outlineLevel="0" collapsed="false">
      <c r="F60" s="18"/>
      <c r="G60" s="19"/>
      <c r="H60" s="20"/>
      <c r="J60" s="20"/>
    </row>
    <row r="61" customFormat="false" ht="15" hidden="false" customHeight="false" outlineLevel="0" collapsed="false">
      <c r="F61" s="18"/>
      <c r="G61" s="19"/>
      <c r="H61" s="20"/>
      <c r="J61" s="20"/>
    </row>
    <row r="62" customFormat="false" ht="15" hidden="false" customHeight="false" outlineLevel="0" collapsed="false">
      <c r="F62" s="18"/>
      <c r="G62" s="19"/>
      <c r="H62" s="20"/>
      <c r="J62" s="20"/>
    </row>
    <row r="63" customFormat="false" ht="15" hidden="false" customHeight="false" outlineLevel="0" collapsed="false">
      <c r="F63" s="18"/>
      <c r="G63" s="19"/>
      <c r="H63" s="20"/>
      <c r="J63" s="20"/>
    </row>
    <row r="64" customFormat="false" ht="15" hidden="false" customHeight="false" outlineLevel="0" collapsed="false">
      <c r="F64" s="18"/>
      <c r="G64" s="19"/>
      <c r="H64" s="20"/>
      <c r="J64" s="20"/>
    </row>
    <row r="65" customFormat="false" ht="15" hidden="false" customHeight="false" outlineLevel="0" collapsed="false">
      <c r="F65" s="18"/>
      <c r="G65" s="19"/>
      <c r="H65" s="20"/>
      <c r="J65" s="20"/>
    </row>
    <row r="66" customFormat="false" ht="15" hidden="false" customHeight="false" outlineLevel="0" collapsed="false">
      <c r="F66" s="18"/>
      <c r="G66" s="19"/>
      <c r="H66" s="20"/>
      <c r="J66" s="20"/>
    </row>
    <row r="67" customFormat="false" ht="15" hidden="false" customHeight="false" outlineLevel="0" collapsed="false">
      <c r="F67" s="18"/>
      <c r="G67" s="19"/>
      <c r="H67" s="20"/>
      <c r="J67" s="20"/>
    </row>
    <row r="68" customFormat="false" ht="15" hidden="false" customHeight="false" outlineLevel="0" collapsed="false">
      <c r="F68" s="18"/>
      <c r="G68" s="19"/>
      <c r="H68" s="20"/>
      <c r="J68" s="20"/>
    </row>
    <row r="69" customFormat="false" ht="15" hidden="false" customHeight="false" outlineLevel="0" collapsed="false">
      <c r="F69" s="18"/>
      <c r="G69" s="19"/>
      <c r="H69" s="20"/>
      <c r="J69" s="20"/>
    </row>
    <row r="70" customFormat="false" ht="15" hidden="false" customHeight="false" outlineLevel="0" collapsed="false">
      <c r="F70" s="18"/>
      <c r="G70" s="19"/>
      <c r="H70" s="20"/>
      <c r="J70" s="20"/>
    </row>
    <row r="71" customFormat="false" ht="15" hidden="false" customHeight="false" outlineLevel="0" collapsed="false">
      <c r="F71" s="18"/>
      <c r="G71" s="19"/>
      <c r="H71" s="20"/>
      <c r="J71" s="20"/>
    </row>
    <row r="72" customFormat="false" ht="15" hidden="false" customHeight="false" outlineLevel="0" collapsed="false">
      <c r="F72" s="18"/>
      <c r="G72" s="19"/>
      <c r="H72" s="20"/>
      <c r="J72" s="20"/>
    </row>
    <row r="73" customFormat="false" ht="15" hidden="false" customHeight="false" outlineLevel="0" collapsed="false">
      <c r="F73" s="18"/>
      <c r="G73" s="19"/>
      <c r="H73" s="20"/>
      <c r="J73" s="20"/>
    </row>
    <row r="74" customFormat="false" ht="15" hidden="false" customHeight="false" outlineLevel="0" collapsed="false">
      <c r="F74" s="18"/>
      <c r="G74" s="19"/>
      <c r="H74" s="20"/>
      <c r="J74" s="20"/>
    </row>
    <row r="75" customFormat="false" ht="15" hidden="false" customHeight="false" outlineLevel="0" collapsed="false">
      <c r="F75" s="18"/>
      <c r="G75" s="19"/>
      <c r="H75" s="20"/>
      <c r="J75" s="20"/>
    </row>
    <row r="76" customFormat="false" ht="15" hidden="false" customHeight="false" outlineLevel="0" collapsed="false">
      <c r="F76" s="18"/>
      <c r="G76" s="19"/>
      <c r="H76" s="20"/>
      <c r="J76" s="20"/>
    </row>
    <row r="77" customFormat="false" ht="15" hidden="false" customHeight="false" outlineLevel="0" collapsed="false">
      <c r="F77" s="18"/>
      <c r="G77" s="19"/>
      <c r="H77" s="20"/>
      <c r="J77" s="20"/>
    </row>
    <row r="78" customFormat="false" ht="15" hidden="false" customHeight="false" outlineLevel="0" collapsed="false">
      <c r="F78" s="18"/>
      <c r="G78" s="19"/>
      <c r="H78" s="20"/>
      <c r="J78" s="20"/>
    </row>
    <row r="79" customFormat="false" ht="15" hidden="false" customHeight="false" outlineLevel="0" collapsed="false">
      <c r="F79" s="18"/>
      <c r="G79" s="19"/>
      <c r="H79" s="20"/>
      <c r="J79" s="20"/>
    </row>
    <row r="80" customFormat="false" ht="15" hidden="false" customHeight="false" outlineLevel="0" collapsed="false">
      <c r="F80" s="18"/>
      <c r="G80" s="19"/>
      <c r="H80" s="20"/>
      <c r="J80" s="20"/>
    </row>
    <row r="81" customFormat="false" ht="15" hidden="false" customHeight="false" outlineLevel="0" collapsed="false">
      <c r="F81" s="18"/>
      <c r="G81" s="19"/>
      <c r="H81" s="20"/>
      <c r="J81" s="20"/>
    </row>
    <row r="82" customFormat="false" ht="15" hidden="false" customHeight="false" outlineLevel="0" collapsed="false">
      <c r="F82" s="18"/>
      <c r="G82" s="19"/>
      <c r="H82" s="20"/>
      <c r="J82" s="20"/>
    </row>
    <row r="83" customFormat="false" ht="15" hidden="false" customHeight="false" outlineLevel="0" collapsed="false">
      <c r="F83" s="18"/>
      <c r="G83" s="19"/>
      <c r="H83" s="20"/>
      <c r="J83" s="20"/>
    </row>
    <row r="84" customFormat="false" ht="15" hidden="false" customHeight="false" outlineLevel="0" collapsed="false">
      <c r="F84" s="18"/>
      <c r="G84" s="19"/>
      <c r="H84" s="20"/>
      <c r="J84" s="20"/>
    </row>
    <row r="85" customFormat="false" ht="15" hidden="false" customHeight="false" outlineLevel="0" collapsed="false">
      <c r="F85" s="18"/>
      <c r="G85" s="19"/>
      <c r="H85" s="20"/>
      <c r="J85" s="20"/>
    </row>
    <row r="86" customFormat="false" ht="15" hidden="false" customHeight="false" outlineLevel="0" collapsed="false">
      <c r="F86" s="18"/>
      <c r="G86" s="19"/>
      <c r="H86" s="20"/>
      <c r="J86" s="20"/>
    </row>
    <row r="87" customFormat="false" ht="15" hidden="false" customHeight="false" outlineLevel="0" collapsed="false">
      <c r="F87" s="18"/>
      <c r="G87" s="19"/>
      <c r="H87" s="20"/>
      <c r="J87" s="20"/>
    </row>
    <row r="88" customFormat="false" ht="15" hidden="false" customHeight="false" outlineLevel="0" collapsed="false">
      <c r="F88" s="18"/>
      <c r="G88" s="19"/>
      <c r="H88" s="20"/>
      <c r="J88" s="20"/>
    </row>
    <row r="89" customFormat="false" ht="15" hidden="false" customHeight="false" outlineLevel="0" collapsed="false">
      <c r="F89" s="18"/>
      <c r="G89" s="19"/>
      <c r="H89" s="20"/>
      <c r="J89" s="20"/>
    </row>
    <row r="90" customFormat="false" ht="15" hidden="false" customHeight="false" outlineLevel="0" collapsed="false">
      <c r="F90" s="18"/>
      <c r="G90" s="19"/>
      <c r="H90" s="20"/>
      <c r="J90" s="20"/>
    </row>
    <row r="91" customFormat="false" ht="15" hidden="false" customHeight="false" outlineLevel="0" collapsed="false">
      <c r="F91" s="18"/>
      <c r="G91" s="19"/>
      <c r="H91" s="20"/>
      <c r="J91" s="20"/>
    </row>
    <row r="92" customFormat="false" ht="15" hidden="false" customHeight="false" outlineLevel="0" collapsed="false">
      <c r="F92" s="18"/>
      <c r="G92" s="19"/>
      <c r="H92" s="20"/>
      <c r="J92" s="20"/>
    </row>
    <row r="93" customFormat="false" ht="15" hidden="false" customHeight="false" outlineLevel="0" collapsed="false">
      <c r="F93" s="18"/>
      <c r="G93" s="19"/>
      <c r="H93" s="20"/>
      <c r="J93" s="20"/>
    </row>
    <row r="94" customFormat="false" ht="15" hidden="false" customHeight="false" outlineLevel="0" collapsed="false">
      <c r="F94" s="18"/>
      <c r="G94" s="19"/>
      <c r="H94" s="20"/>
      <c r="J94" s="20"/>
    </row>
    <row r="95" customFormat="false" ht="15" hidden="false" customHeight="false" outlineLevel="0" collapsed="false">
      <c r="F95" s="18"/>
      <c r="G95" s="19"/>
      <c r="H95" s="20"/>
      <c r="J95" s="20"/>
    </row>
    <row r="96" customFormat="false" ht="15" hidden="false" customHeight="false" outlineLevel="0" collapsed="false">
      <c r="F96" s="18"/>
      <c r="G96" s="19"/>
      <c r="H96" s="20"/>
      <c r="J96" s="20"/>
    </row>
    <row r="97" customFormat="false" ht="15" hidden="false" customHeight="false" outlineLevel="0" collapsed="false">
      <c r="F97" s="18"/>
      <c r="G97" s="19"/>
      <c r="H97" s="20"/>
      <c r="J97" s="20"/>
    </row>
    <row r="98" customFormat="false" ht="15" hidden="false" customHeight="false" outlineLevel="0" collapsed="false">
      <c r="F98" s="18"/>
      <c r="G98" s="19"/>
      <c r="H98" s="20"/>
      <c r="J98" s="20"/>
    </row>
    <row r="99" customFormat="false" ht="15" hidden="false" customHeight="false" outlineLevel="0" collapsed="false">
      <c r="F99" s="18"/>
      <c r="G99" s="19"/>
      <c r="H99" s="20"/>
      <c r="J99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45"/>
    <col collapsed="false" customWidth="true" hidden="false" outlineLevel="0" max="9" min="4" style="0" width="15"/>
    <col collapsed="false" customWidth="true" hidden="false" outlineLevel="0" max="10" min="10" style="0" width="17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4" min="13" style="0" width="15"/>
    <col collapsed="false" customWidth="true" hidden="false" outlineLevel="0" max="15" min="15" style="0" width="12"/>
  </cols>
  <sheetData>
    <row r="1" customFormat="false" ht="26.85" hidden="false" customHeight="false" outlineLevel="0" collapsed="false">
      <c r="A1" s="12" t="s">
        <v>19</v>
      </c>
      <c r="B1" s="12" t="s">
        <v>8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49</v>
      </c>
      <c r="J1" s="12" t="s">
        <v>50</v>
      </c>
      <c r="K1" s="12" t="s">
        <v>51</v>
      </c>
      <c r="L1" s="12" t="s">
        <v>52</v>
      </c>
      <c r="M1" s="12" t="s">
        <v>53</v>
      </c>
      <c r="N1" s="12" t="s">
        <v>54</v>
      </c>
      <c r="O1" s="12" t="s">
        <v>10</v>
      </c>
    </row>
    <row r="2" customFormat="false" ht="15" hidden="false" customHeight="false" outlineLevel="0" collapsed="false">
      <c r="A2" s="9" t="s">
        <v>30</v>
      </c>
      <c r="B2" s="9" t="s">
        <v>11</v>
      </c>
      <c r="C2" s="9" t="s">
        <v>31</v>
      </c>
      <c r="D2" s="21" t="n">
        <f aca="false">SUMIFS(Transactions!F:F,Transactions!C:C,A2,Transactions!B:B,"BUY")</f>
        <v>1500000</v>
      </c>
      <c r="E2" s="21" t="n">
        <f aca="false">SUMIFS(Transactions!F:F,Transactions!C:C,A2,Transactions!B:B,"SELL")</f>
        <v>0</v>
      </c>
      <c r="F2" s="22" t="n">
        <f aca="false">D2-E2</f>
        <v>1500000</v>
      </c>
      <c r="G2" s="10" t="n">
        <f aca="false">SUMIFS(Transactions!H:H,Transactions!C:C,A2,Transactions!B:B,"BUY")+SUMIFS(Transactions!J:J,Transactions!C:C,A2)</f>
        <v>23.25</v>
      </c>
      <c r="H2" s="23" t="n">
        <f aca="false">IFERROR(G2/D2,0)</f>
        <v>1.55E-005</v>
      </c>
      <c r="I2" s="24" t="n">
        <v>9.5E-006</v>
      </c>
      <c r="J2" s="25" t="n">
        <f aca="false">F2*I2</f>
        <v>14.25</v>
      </c>
      <c r="K2" s="26" t="n">
        <f aca="false">J2-G2</f>
        <v>-9</v>
      </c>
      <c r="L2" s="27" t="n">
        <f aca="false">IFERROR((J2-G2)/G2,0)</f>
        <v>-0.387096774193548</v>
      </c>
      <c r="M2" s="28" t="n">
        <v>5E-005</v>
      </c>
      <c r="N2" s="28" t="n">
        <v>5E-006</v>
      </c>
      <c r="O2" s="11" t="n">
        <f aca="false">IFERROR(J2/SUM($J$2:$J$50),0)</f>
        <v>0.0150237216657881</v>
      </c>
    </row>
    <row r="3" customFormat="false" ht="15" hidden="false" customHeight="false" outlineLevel="0" collapsed="false">
      <c r="A3" s="9" t="s">
        <v>39</v>
      </c>
      <c r="B3" s="9" t="s">
        <v>13</v>
      </c>
      <c r="C3" s="9" t="s">
        <v>40</v>
      </c>
      <c r="D3" s="21" t="n">
        <f aca="false">SUMIFS(Transactions!F:F,Transactions!C:C,A3,Transactions!B:B,"BUY")</f>
        <v>5000</v>
      </c>
      <c r="E3" s="21" t="n">
        <f aca="false">SUMIFS(Transactions!F:F,Transactions!C:C,A3,Transactions!B:B,"SELL")</f>
        <v>0</v>
      </c>
      <c r="F3" s="22" t="n">
        <f aca="false">D3-E3</f>
        <v>5000</v>
      </c>
      <c r="G3" s="10" t="n">
        <f aca="false">SUMIFS(Transactions!H:H,Transactions!C:C,A3,Transactions!B:B,"BUY")+SUMIFS(Transactions!J:J,Transactions!C:C,A3)</f>
        <v>425.5</v>
      </c>
      <c r="H3" s="23" t="n">
        <f aca="false">IFERROR(G3/D3,0)</f>
        <v>0.0851</v>
      </c>
      <c r="I3" s="24" t="n">
        <v>0.092</v>
      </c>
      <c r="J3" s="25" t="n">
        <f aca="false">F3*I3</f>
        <v>460</v>
      </c>
      <c r="K3" s="26" t="n">
        <f aca="false">J3-G3</f>
        <v>34.4999999999999</v>
      </c>
      <c r="L3" s="27" t="n">
        <f aca="false">IFERROR((J3-G3)/G3,0)</f>
        <v>0.0810810810810809</v>
      </c>
      <c r="M3" s="28" t="n">
        <v>0.5</v>
      </c>
      <c r="N3" s="28" t="n">
        <v>0.05</v>
      </c>
      <c r="O3" s="11" t="n">
        <f aca="false">IFERROR(J3/SUM($J$2:$J$50),0)</f>
        <v>0.484976278334212</v>
      </c>
    </row>
    <row r="4" customFormat="false" ht="15" hidden="false" customHeight="false" outlineLevel="0" collapsed="false">
      <c r="D4" s="18"/>
      <c r="E4" s="18"/>
      <c r="F4" s="18"/>
      <c r="G4" s="20"/>
      <c r="H4" s="19"/>
      <c r="I4" s="19"/>
      <c r="J4" s="20"/>
      <c r="K4" s="29"/>
      <c r="L4" s="30"/>
      <c r="M4" s="19"/>
      <c r="N4" s="19"/>
      <c r="O4" s="31"/>
    </row>
    <row r="5" customFormat="false" ht="15" hidden="false" customHeight="false" outlineLevel="0" collapsed="false">
      <c r="A5" s="32" t="s">
        <v>55</v>
      </c>
      <c r="B5" s="33"/>
      <c r="C5" s="33"/>
      <c r="D5" s="34"/>
      <c r="E5" s="34"/>
      <c r="F5" s="34"/>
      <c r="G5" s="35" t="n">
        <f aca="false">SUM(G2:G3)</f>
        <v>448.75</v>
      </c>
      <c r="H5" s="36"/>
      <c r="I5" s="36"/>
      <c r="J5" s="35" t="n">
        <f aca="false">SUM(J2:J3)</f>
        <v>474.25</v>
      </c>
      <c r="K5" s="37" t="n">
        <f aca="false">SUM(K2:K3)</f>
        <v>25.4999999999999</v>
      </c>
      <c r="L5" s="38" t="n">
        <f aca="false">IFERROR(K5/G5,0)</f>
        <v>0.0568245125348188</v>
      </c>
      <c r="M5" s="36"/>
      <c r="N5" s="36"/>
      <c r="O5" s="39"/>
    </row>
    <row r="6" customFormat="false" ht="15" hidden="false" customHeight="false" outlineLevel="0" collapsed="false">
      <c r="D6" s="18"/>
      <c r="E6" s="18"/>
      <c r="F6" s="18"/>
      <c r="G6" s="20"/>
      <c r="H6" s="19"/>
      <c r="I6" s="19"/>
      <c r="J6" s="20"/>
      <c r="K6" s="29"/>
      <c r="L6" s="30"/>
      <c r="M6" s="19"/>
      <c r="N6" s="19"/>
      <c r="O6" s="31"/>
    </row>
    <row r="7" customFormat="false" ht="15" hidden="false" customHeight="false" outlineLevel="0" collapsed="false">
      <c r="D7" s="18"/>
      <c r="E7" s="18"/>
      <c r="F7" s="18"/>
      <c r="G7" s="20"/>
      <c r="H7" s="19"/>
      <c r="I7" s="19"/>
      <c r="J7" s="20"/>
      <c r="K7" s="29"/>
      <c r="L7" s="30"/>
      <c r="M7" s="19"/>
      <c r="N7" s="19"/>
      <c r="O7" s="31"/>
    </row>
    <row r="8" customFormat="false" ht="15" hidden="false" customHeight="false" outlineLevel="0" collapsed="false">
      <c r="D8" s="18"/>
      <c r="E8" s="18"/>
      <c r="F8" s="18"/>
      <c r="G8" s="20"/>
      <c r="H8" s="19"/>
      <c r="I8" s="19"/>
      <c r="J8" s="20"/>
      <c r="K8" s="29"/>
      <c r="L8" s="30"/>
      <c r="M8" s="19"/>
      <c r="N8" s="19"/>
      <c r="O8" s="31"/>
    </row>
    <row r="9" customFormat="false" ht="15" hidden="false" customHeight="false" outlineLevel="0" collapsed="false">
      <c r="D9" s="18"/>
      <c r="E9" s="18"/>
      <c r="F9" s="18"/>
      <c r="G9" s="20"/>
      <c r="H9" s="19"/>
      <c r="I9" s="19"/>
      <c r="J9" s="20"/>
      <c r="K9" s="29"/>
      <c r="L9" s="30"/>
      <c r="M9" s="19"/>
      <c r="N9" s="19"/>
      <c r="O9" s="31"/>
    </row>
    <row r="10" customFormat="false" ht="15" hidden="false" customHeight="false" outlineLevel="0" collapsed="false">
      <c r="D10" s="18"/>
      <c r="E10" s="18"/>
      <c r="F10" s="18"/>
      <c r="G10" s="20"/>
      <c r="H10" s="19"/>
      <c r="I10" s="19"/>
      <c r="J10" s="20"/>
      <c r="K10" s="29"/>
      <c r="L10" s="30"/>
      <c r="M10" s="19"/>
      <c r="N10" s="19"/>
      <c r="O10" s="31"/>
    </row>
    <row r="11" customFormat="false" ht="15" hidden="false" customHeight="false" outlineLevel="0" collapsed="false">
      <c r="D11" s="18"/>
      <c r="E11" s="18"/>
      <c r="F11" s="18"/>
      <c r="G11" s="20"/>
      <c r="H11" s="19"/>
      <c r="I11" s="19"/>
      <c r="J11" s="20"/>
      <c r="K11" s="29"/>
      <c r="L11" s="30"/>
      <c r="M11" s="19"/>
      <c r="N11" s="19"/>
      <c r="O11" s="31"/>
    </row>
    <row r="12" customFormat="false" ht="15" hidden="false" customHeight="false" outlineLevel="0" collapsed="false">
      <c r="D12" s="18"/>
      <c r="E12" s="18"/>
      <c r="F12" s="18"/>
      <c r="G12" s="20"/>
      <c r="H12" s="19"/>
      <c r="I12" s="19"/>
      <c r="J12" s="20"/>
      <c r="K12" s="29"/>
      <c r="L12" s="30"/>
      <c r="M12" s="19"/>
      <c r="N12" s="19"/>
      <c r="O12" s="31"/>
    </row>
    <row r="13" customFormat="false" ht="15" hidden="false" customHeight="false" outlineLevel="0" collapsed="false">
      <c r="D13" s="18"/>
      <c r="E13" s="18"/>
      <c r="F13" s="18"/>
      <c r="G13" s="20"/>
      <c r="H13" s="19"/>
      <c r="I13" s="19"/>
      <c r="J13" s="20"/>
      <c r="K13" s="29"/>
      <c r="L13" s="30"/>
      <c r="M13" s="19"/>
      <c r="N13" s="19"/>
      <c r="O13" s="31"/>
    </row>
    <row r="14" customFormat="false" ht="15" hidden="false" customHeight="false" outlineLevel="0" collapsed="false">
      <c r="D14" s="18"/>
      <c r="E14" s="18"/>
      <c r="F14" s="18"/>
      <c r="G14" s="20"/>
      <c r="H14" s="19"/>
      <c r="I14" s="19"/>
      <c r="J14" s="20"/>
      <c r="K14" s="29"/>
      <c r="L14" s="30"/>
      <c r="M14" s="19"/>
      <c r="N14" s="19"/>
      <c r="O14" s="31"/>
    </row>
    <row r="15" customFormat="false" ht="15" hidden="false" customHeight="false" outlineLevel="0" collapsed="false">
      <c r="D15" s="18"/>
      <c r="E15" s="18"/>
      <c r="F15" s="18"/>
      <c r="G15" s="20"/>
      <c r="H15" s="19"/>
      <c r="I15" s="19"/>
      <c r="J15" s="20"/>
      <c r="K15" s="29"/>
      <c r="L15" s="30"/>
      <c r="M15" s="19"/>
      <c r="N15" s="19"/>
      <c r="O15" s="31"/>
    </row>
    <row r="16" customFormat="false" ht="15" hidden="false" customHeight="false" outlineLevel="0" collapsed="false">
      <c r="D16" s="18"/>
      <c r="E16" s="18"/>
      <c r="F16" s="18"/>
      <c r="G16" s="20"/>
      <c r="H16" s="19"/>
      <c r="I16" s="19"/>
      <c r="J16" s="20"/>
      <c r="K16" s="29"/>
      <c r="L16" s="30"/>
      <c r="M16" s="19"/>
      <c r="N16" s="19"/>
      <c r="O16" s="31"/>
    </row>
    <row r="17" customFormat="false" ht="15" hidden="false" customHeight="false" outlineLevel="0" collapsed="false">
      <c r="D17" s="18"/>
      <c r="E17" s="18"/>
      <c r="F17" s="18"/>
      <c r="G17" s="20"/>
      <c r="H17" s="19"/>
      <c r="I17" s="19"/>
      <c r="J17" s="20"/>
      <c r="K17" s="29"/>
      <c r="L17" s="30"/>
      <c r="M17" s="19"/>
      <c r="N17" s="19"/>
      <c r="O17" s="31"/>
    </row>
    <row r="18" customFormat="false" ht="15" hidden="false" customHeight="false" outlineLevel="0" collapsed="false">
      <c r="D18" s="18"/>
      <c r="E18" s="18"/>
      <c r="F18" s="18"/>
      <c r="G18" s="20"/>
      <c r="H18" s="19"/>
      <c r="I18" s="19"/>
      <c r="J18" s="20"/>
      <c r="K18" s="29"/>
      <c r="L18" s="30"/>
      <c r="M18" s="19"/>
      <c r="N18" s="19"/>
      <c r="O18" s="31"/>
    </row>
    <row r="19" customFormat="false" ht="15" hidden="false" customHeight="false" outlineLevel="0" collapsed="false">
      <c r="D19" s="18"/>
      <c r="E19" s="18"/>
      <c r="F19" s="18"/>
      <c r="G19" s="20"/>
      <c r="H19" s="19"/>
      <c r="I19" s="19"/>
      <c r="J19" s="20"/>
      <c r="K19" s="29"/>
      <c r="L19" s="30"/>
      <c r="M19" s="19"/>
      <c r="N19" s="19"/>
      <c r="O19" s="31"/>
    </row>
    <row r="20" customFormat="false" ht="15" hidden="false" customHeight="false" outlineLevel="0" collapsed="false">
      <c r="D20" s="18"/>
      <c r="E20" s="18"/>
      <c r="F20" s="18"/>
      <c r="G20" s="20"/>
      <c r="H20" s="19"/>
      <c r="I20" s="19"/>
      <c r="J20" s="20"/>
      <c r="K20" s="29"/>
      <c r="L20" s="30"/>
      <c r="M20" s="19"/>
      <c r="N20" s="19"/>
      <c r="O20" s="31"/>
    </row>
    <row r="21" customFormat="false" ht="15" hidden="false" customHeight="false" outlineLevel="0" collapsed="false">
      <c r="D21" s="18"/>
      <c r="E21" s="18"/>
      <c r="F21" s="18"/>
      <c r="G21" s="20"/>
      <c r="H21" s="19"/>
      <c r="I21" s="19"/>
      <c r="J21" s="20"/>
      <c r="K21" s="29"/>
      <c r="L21" s="30"/>
      <c r="M21" s="19"/>
      <c r="N21" s="19"/>
      <c r="O21" s="31"/>
    </row>
    <row r="22" customFormat="false" ht="15" hidden="false" customHeight="false" outlineLevel="0" collapsed="false">
      <c r="D22" s="18"/>
      <c r="E22" s="18"/>
      <c r="F22" s="18"/>
      <c r="G22" s="20"/>
      <c r="H22" s="19"/>
      <c r="I22" s="19"/>
      <c r="J22" s="20"/>
      <c r="K22" s="29"/>
      <c r="L22" s="30"/>
      <c r="M22" s="19"/>
      <c r="N22" s="19"/>
      <c r="O22" s="31"/>
    </row>
    <row r="23" customFormat="false" ht="15" hidden="false" customHeight="false" outlineLevel="0" collapsed="false">
      <c r="D23" s="18"/>
      <c r="E23" s="18"/>
      <c r="F23" s="18"/>
      <c r="G23" s="20"/>
      <c r="H23" s="19"/>
      <c r="I23" s="19"/>
      <c r="J23" s="20"/>
      <c r="K23" s="29"/>
      <c r="L23" s="30"/>
      <c r="M23" s="19"/>
      <c r="N23" s="19"/>
      <c r="O23" s="31"/>
    </row>
    <row r="24" customFormat="false" ht="15" hidden="false" customHeight="false" outlineLevel="0" collapsed="false">
      <c r="D24" s="18"/>
      <c r="E24" s="18"/>
      <c r="F24" s="18"/>
      <c r="G24" s="20"/>
      <c r="H24" s="19"/>
      <c r="I24" s="19"/>
      <c r="J24" s="20"/>
      <c r="K24" s="29"/>
      <c r="L24" s="30"/>
      <c r="M24" s="19"/>
      <c r="N24" s="19"/>
      <c r="O24" s="31"/>
    </row>
    <row r="25" customFormat="false" ht="15" hidden="false" customHeight="false" outlineLevel="0" collapsed="false">
      <c r="D25" s="18"/>
      <c r="E25" s="18"/>
      <c r="F25" s="18"/>
      <c r="G25" s="20"/>
      <c r="H25" s="19"/>
      <c r="I25" s="19"/>
      <c r="J25" s="20"/>
      <c r="K25" s="29"/>
      <c r="L25" s="30"/>
      <c r="M25" s="19"/>
      <c r="N25" s="19"/>
      <c r="O25" s="31"/>
    </row>
    <row r="26" customFormat="false" ht="15" hidden="false" customHeight="false" outlineLevel="0" collapsed="false">
      <c r="D26" s="18"/>
      <c r="E26" s="18"/>
      <c r="F26" s="18"/>
      <c r="G26" s="20"/>
      <c r="H26" s="19"/>
      <c r="I26" s="19"/>
      <c r="J26" s="20"/>
      <c r="K26" s="29"/>
      <c r="L26" s="30"/>
      <c r="M26" s="19"/>
      <c r="N26" s="19"/>
      <c r="O26" s="31"/>
    </row>
    <row r="27" customFormat="false" ht="15" hidden="false" customHeight="false" outlineLevel="0" collapsed="false">
      <c r="D27" s="18"/>
      <c r="E27" s="18"/>
      <c r="F27" s="18"/>
      <c r="G27" s="20"/>
      <c r="H27" s="19"/>
      <c r="I27" s="19"/>
      <c r="J27" s="20"/>
      <c r="K27" s="29"/>
      <c r="L27" s="30"/>
      <c r="M27" s="19"/>
      <c r="N27" s="19"/>
      <c r="O27" s="31"/>
    </row>
    <row r="28" customFormat="false" ht="15" hidden="false" customHeight="false" outlineLevel="0" collapsed="false">
      <c r="D28" s="18"/>
      <c r="E28" s="18"/>
      <c r="F28" s="18"/>
      <c r="G28" s="20"/>
      <c r="H28" s="19"/>
      <c r="I28" s="19"/>
      <c r="J28" s="20"/>
      <c r="K28" s="29"/>
      <c r="L28" s="30"/>
      <c r="M28" s="19"/>
      <c r="N28" s="19"/>
      <c r="O28" s="31"/>
    </row>
    <row r="29" customFormat="false" ht="15" hidden="false" customHeight="false" outlineLevel="0" collapsed="false">
      <c r="D29" s="18"/>
      <c r="E29" s="18"/>
      <c r="F29" s="18"/>
      <c r="G29" s="20"/>
      <c r="H29" s="19"/>
      <c r="I29" s="19"/>
      <c r="J29" s="20"/>
      <c r="K29" s="29"/>
      <c r="L29" s="30"/>
      <c r="M29" s="19"/>
      <c r="N29" s="19"/>
      <c r="O29" s="31"/>
    </row>
    <row r="30" customFormat="false" ht="15" hidden="false" customHeight="false" outlineLevel="0" collapsed="false">
      <c r="D30" s="18"/>
      <c r="E30" s="18"/>
      <c r="F30" s="18"/>
      <c r="G30" s="20"/>
      <c r="H30" s="19"/>
      <c r="I30" s="19"/>
      <c r="J30" s="20"/>
      <c r="K30" s="29"/>
      <c r="L30" s="30"/>
      <c r="M30" s="19"/>
      <c r="N30" s="19"/>
      <c r="O30" s="31"/>
    </row>
    <row r="31" customFormat="false" ht="15" hidden="false" customHeight="false" outlineLevel="0" collapsed="false">
      <c r="D31" s="18"/>
      <c r="E31" s="18"/>
      <c r="F31" s="18"/>
      <c r="G31" s="20"/>
      <c r="H31" s="19"/>
      <c r="I31" s="19"/>
      <c r="J31" s="20"/>
      <c r="K31" s="29"/>
      <c r="L31" s="30"/>
      <c r="M31" s="19"/>
      <c r="N31" s="19"/>
      <c r="O31" s="31"/>
    </row>
    <row r="32" customFormat="false" ht="15" hidden="false" customHeight="false" outlineLevel="0" collapsed="false">
      <c r="D32" s="18"/>
      <c r="E32" s="18"/>
      <c r="F32" s="18"/>
      <c r="G32" s="20"/>
      <c r="H32" s="19"/>
      <c r="I32" s="19"/>
      <c r="J32" s="20"/>
      <c r="K32" s="29"/>
      <c r="L32" s="30"/>
      <c r="M32" s="19"/>
      <c r="N32" s="19"/>
      <c r="O32" s="31"/>
    </row>
    <row r="33" customFormat="false" ht="15" hidden="false" customHeight="false" outlineLevel="0" collapsed="false">
      <c r="D33" s="18"/>
      <c r="E33" s="18"/>
      <c r="F33" s="18"/>
      <c r="G33" s="20"/>
      <c r="H33" s="19"/>
      <c r="I33" s="19"/>
      <c r="J33" s="20"/>
      <c r="K33" s="29"/>
      <c r="L33" s="30"/>
      <c r="M33" s="19"/>
      <c r="N33" s="19"/>
      <c r="O33" s="31"/>
    </row>
    <row r="34" customFormat="false" ht="15" hidden="false" customHeight="false" outlineLevel="0" collapsed="false">
      <c r="D34" s="18"/>
      <c r="E34" s="18"/>
      <c r="F34" s="18"/>
      <c r="G34" s="20"/>
      <c r="H34" s="19"/>
      <c r="I34" s="19"/>
      <c r="J34" s="20"/>
      <c r="K34" s="29"/>
      <c r="L34" s="30"/>
      <c r="M34" s="19"/>
      <c r="N34" s="19"/>
      <c r="O34" s="31"/>
    </row>
    <row r="35" customFormat="false" ht="15" hidden="false" customHeight="false" outlineLevel="0" collapsed="false">
      <c r="D35" s="18"/>
      <c r="E35" s="18"/>
      <c r="F35" s="18"/>
      <c r="G35" s="20"/>
      <c r="H35" s="19"/>
      <c r="I35" s="19"/>
      <c r="J35" s="20"/>
      <c r="K35" s="29"/>
      <c r="L35" s="30"/>
      <c r="M35" s="19"/>
      <c r="N35" s="19"/>
      <c r="O35" s="31"/>
    </row>
    <row r="36" customFormat="false" ht="15" hidden="false" customHeight="false" outlineLevel="0" collapsed="false">
      <c r="D36" s="18"/>
      <c r="E36" s="18"/>
      <c r="F36" s="18"/>
      <c r="G36" s="20"/>
      <c r="H36" s="19"/>
      <c r="I36" s="19"/>
      <c r="J36" s="20"/>
      <c r="K36" s="29"/>
      <c r="L36" s="30"/>
      <c r="M36" s="19"/>
      <c r="N36" s="19"/>
      <c r="O36" s="31"/>
    </row>
    <row r="37" customFormat="false" ht="15" hidden="false" customHeight="false" outlineLevel="0" collapsed="false">
      <c r="D37" s="18"/>
      <c r="E37" s="18"/>
      <c r="F37" s="18"/>
      <c r="G37" s="20"/>
      <c r="H37" s="19"/>
      <c r="I37" s="19"/>
      <c r="J37" s="20"/>
      <c r="K37" s="29"/>
      <c r="L37" s="30"/>
      <c r="M37" s="19"/>
      <c r="N37" s="19"/>
      <c r="O37" s="31"/>
    </row>
    <row r="38" customFormat="false" ht="15" hidden="false" customHeight="false" outlineLevel="0" collapsed="false">
      <c r="D38" s="18"/>
      <c r="E38" s="18"/>
      <c r="F38" s="18"/>
      <c r="G38" s="20"/>
      <c r="H38" s="19"/>
      <c r="I38" s="19"/>
      <c r="J38" s="20"/>
      <c r="K38" s="29"/>
      <c r="L38" s="30"/>
      <c r="M38" s="19"/>
      <c r="N38" s="19"/>
      <c r="O38" s="31"/>
    </row>
    <row r="39" customFormat="false" ht="15" hidden="false" customHeight="false" outlineLevel="0" collapsed="false">
      <c r="D39" s="18"/>
      <c r="E39" s="18"/>
      <c r="F39" s="18"/>
      <c r="G39" s="20"/>
      <c r="H39" s="19"/>
      <c r="I39" s="19"/>
      <c r="J39" s="20"/>
      <c r="K39" s="29"/>
      <c r="L39" s="30"/>
      <c r="M39" s="19"/>
      <c r="N39" s="19"/>
      <c r="O39" s="31"/>
    </row>
    <row r="40" customFormat="false" ht="15" hidden="false" customHeight="false" outlineLevel="0" collapsed="false">
      <c r="D40" s="18"/>
      <c r="E40" s="18"/>
      <c r="F40" s="18"/>
      <c r="G40" s="20"/>
      <c r="H40" s="19"/>
      <c r="I40" s="19"/>
      <c r="J40" s="20"/>
      <c r="K40" s="29"/>
      <c r="L40" s="30"/>
      <c r="M40" s="19"/>
      <c r="N40" s="19"/>
      <c r="O40" s="31"/>
    </row>
    <row r="41" customFormat="false" ht="15" hidden="false" customHeight="false" outlineLevel="0" collapsed="false">
      <c r="D41" s="18"/>
      <c r="E41" s="18"/>
      <c r="F41" s="18"/>
      <c r="G41" s="20"/>
      <c r="H41" s="19"/>
      <c r="I41" s="19"/>
      <c r="J41" s="20"/>
      <c r="K41" s="29"/>
      <c r="L41" s="30"/>
      <c r="M41" s="19"/>
      <c r="N41" s="19"/>
      <c r="O41" s="31"/>
    </row>
    <row r="42" customFormat="false" ht="15" hidden="false" customHeight="false" outlineLevel="0" collapsed="false">
      <c r="D42" s="18"/>
      <c r="E42" s="18"/>
      <c r="F42" s="18"/>
      <c r="G42" s="20"/>
      <c r="H42" s="19"/>
      <c r="I42" s="19"/>
      <c r="J42" s="20"/>
      <c r="K42" s="29"/>
      <c r="L42" s="30"/>
      <c r="M42" s="19"/>
      <c r="N42" s="19"/>
      <c r="O42" s="31"/>
    </row>
    <row r="43" customFormat="false" ht="15" hidden="false" customHeight="false" outlineLevel="0" collapsed="false">
      <c r="D43" s="18"/>
      <c r="E43" s="18"/>
      <c r="F43" s="18"/>
      <c r="G43" s="20"/>
      <c r="H43" s="19"/>
      <c r="I43" s="19"/>
      <c r="J43" s="20"/>
      <c r="K43" s="29"/>
      <c r="L43" s="30"/>
      <c r="M43" s="19"/>
      <c r="N43" s="19"/>
      <c r="O43" s="31"/>
    </row>
    <row r="44" customFormat="false" ht="15" hidden="false" customHeight="false" outlineLevel="0" collapsed="false">
      <c r="D44" s="18"/>
      <c r="E44" s="18"/>
      <c r="F44" s="18"/>
      <c r="G44" s="20"/>
      <c r="H44" s="19"/>
      <c r="I44" s="19"/>
      <c r="J44" s="20"/>
      <c r="K44" s="29"/>
      <c r="L44" s="30"/>
      <c r="M44" s="19"/>
      <c r="N44" s="19"/>
      <c r="O44" s="31"/>
    </row>
    <row r="45" customFormat="false" ht="15" hidden="false" customHeight="false" outlineLevel="0" collapsed="false">
      <c r="D45" s="18"/>
      <c r="E45" s="18"/>
      <c r="F45" s="18"/>
      <c r="G45" s="20"/>
      <c r="H45" s="19"/>
      <c r="I45" s="19"/>
      <c r="J45" s="20"/>
      <c r="K45" s="29"/>
      <c r="L45" s="30"/>
      <c r="M45" s="19"/>
      <c r="N45" s="19"/>
      <c r="O45" s="31"/>
    </row>
    <row r="46" customFormat="false" ht="15" hidden="false" customHeight="false" outlineLevel="0" collapsed="false">
      <c r="D46" s="18"/>
      <c r="E46" s="18"/>
      <c r="F46" s="18"/>
      <c r="G46" s="20"/>
      <c r="H46" s="19"/>
      <c r="I46" s="19"/>
      <c r="J46" s="20"/>
      <c r="K46" s="29"/>
      <c r="L46" s="30"/>
      <c r="M46" s="19"/>
      <c r="N46" s="19"/>
      <c r="O46" s="31"/>
    </row>
    <row r="47" customFormat="false" ht="15" hidden="false" customHeight="false" outlineLevel="0" collapsed="false">
      <c r="D47" s="18"/>
      <c r="E47" s="18"/>
      <c r="F47" s="18"/>
      <c r="G47" s="20"/>
      <c r="H47" s="19"/>
      <c r="I47" s="19"/>
      <c r="J47" s="20"/>
      <c r="K47" s="29"/>
      <c r="L47" s="30"/>
      <c r="M47" s="19"/>
      <c r="N47" s="19"/>
      <c r="O47" s="31"/>
    </row>
    <row r="48" customFormat="false" ht="15" hidden="false" customHeight="false" outlineLevel="0" collapsed="false">
      <c r="D48" s="18"/>
      <c r="E48" s="18"/>
      <c r="F48" s="18"/>
      <c r="G48" s="20"/>
      <c r="H48" s="19"/>
      <c r="I48" s="19"/>
      <c r="J48" s="20"/>
      <c r="K48" s="29"/>
      <c r="L48" s="30"/>
      <c r="M48" s="19"/>
      <c r="N48" s="19"/>
      <c r="O48" s="31"/>
    </row>
    <row r="49" customFormat="false" ht="15" hidden="false" customHeight="false" outlineLevel="0" collapsed="false">
      <c r="D49" s="18"/>
      <c r="E49" s="18"/>
      <c r="F49" s="18"/>
      <c r="G49" s="20"/>
      <c r="H49" s="19"/>
      <c r="I49" s="19"/>
      <c r="J49" s="20"/>
      <c r="K49" s="29"/>
      <c r="L49" s="30"/>
      <c r="M49" s="19"/>
      <c r="N49" s="19"/>
      <c r="O49" s="31"/>
    </row>
  </sheetData>
  <conditionalFormatting sqref="K2:K3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L2:L3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I2:I3">
    <cfRule type="expression" priority="6" aboveAverage="0" equalAverage="0" bottom="0" percent="0" rank="0" text="" dxfId="2">
      <formula>I2&gt;=M2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5"/>
  </cols>
  <sheetData>
    <row r="1" customFormat="false" ht="15" hidden="false" customHeight="false" outlineLevel="0" collapsed="false">
      <c r="A1" s="12" t="s">
        <v>19</v>
      </c>
      <c r="B1" s="12" t="s">
        <v>8</v>
      </c>
      <c r="C1" s="12" t="s">
        <v>56</v>
      </c>
      <c r="D1" s="12" t="s">
        <v>57</v>
      </c>
      <c r="E1" s="12" t="s">
        <v>58</v>
      </c>
      <c r="F1" s="12" t="s">
        <v>59</v>
      </c>
      <c r="G1" s="12" t="s">
        <v>60</v>
      </c>
    </row>
    <row r="2" customFormat="false" ht="15" hidden="false" customHeight="false" outlineLevel="0" collapsed="false">
      <c r="A2" s="13" t="s">
        <v>30</v>
      </c>
      <c r="B2" s="13" t="s">
        <v>11</v>
      </c>
      <c r="C2" s="13" t="s">
        <v>61</v>
      </c>
      <c r="D2" s="13" t="n">
        <v>5E-005</v>
      </c>
      <c r="E2" s="13" t="s">
        <v>62</v>
      </c>
      <c r="F2" s="13"/>
      <c r="G2" s="13" t="s">
        <v>63</v>
      </c>
    </row>
    <row r="3" customFormat="false" ht="15" hidden="false" customHeight="false" outlineLevel="0" collapsed="false">
      <c r="A3" s="13" t="s">
        <v>30</v>
      </c>
      <c r="B3" s="13" t="s">
        <v>11</v>
      </c>
      <c r="C3" s="13" t="s">
        <v>64</v>
      </c>
      <c r="D3" s="13" t="n">
        <v>5E-006</v>
      </c>
      <c r="E3" s="13" t="s">
        <v>62</v>
      </c>
      <c r="F3" s="13"/>
      <c r="G3" s="13" t="s">
        <v>65</v>
      </c>
    </row>
    <row r="4" customFormat="false" ht="15" hidden="false" customHeight="false" outlineLevel="0" collapsed="false">
      <c r="A4" s="13" t="s">
        <v>39</v>
      </c>
      <c r="B4" s="13" t="s">
        <v>13</v>
      </c>
      <c r="C4" s="13" t="s">
        <v>61</v>
      </c>
      <c r="D4" s="13" t="n">
        <v>0.5</v>
      </c>
      <c r="E4" s="13" t="s">
        <v>62</v>
      </c>
      <c r="F4" s="13"/>
      <c r="G4" s="1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40" t="s">
        <v>67</v>
      </c>
    </row>
    <row r="2" customFormat="false" ht="15" hidden="false" customHeight="false" outlineLevel="0" collapsed="false">
      <c r="A2" s="41"/>
    </row>
    <row r="3" customFormat="false" ht="16.15" hidden="false" customHeight="false" outlineLevel="0" collapsed="false">
      <c r="A3" s="42" t="s">
        <v>68</v>
      </c>
    </row>
    <row r="4" customFormat="false" ht="15" hidden="false" customHeight="false" outlineLevel="0" collapsed="false">
      <c r="A4" s="41" t="s">
        <v>69</v>
      </c>
    </row>
    <row r="5" customFormat="false" ht="15" hidden="false" customHeight="false" outlineLevel="0" collapsed="false">
      <c r="A5" s="41"/>
    </row>
    <row r="6" customFormat="false" ht="16.15" hidden="false" customHeight="false" outlineLevel="0" collapsed="false">
      <c r="A6" s="42" t="s">
        <v>70</v>
      </c>
    </row>
    <row r="7" customFormat="false" ht="15" hidden="false" customHeight="false" outlineLevel="0" collapsed="false">
      <c r="A7" s="41" t="s">
        <v>71</v>
      </c>
    </row>
    <row r="8" customFormat="false" ht="15" hidden="false" customHeight="false" outlineLevel="0" collapsed="false">
      <c r="A8" s="41" t="s">
        <v>72</v>
      </c>
    </row>
    <row r="9" customFormat="false" ht="15" hidden="false" customHeight="false" outlineLevel="0" collapsed="false">
      <c r="A9" s="41" t="s">
        <v>73</v>
      </c>
    </row>
    <row r="10" customFormat="false" ht="15" hidden="false" customHeight="false" outlineLevel="0" collapsed="false">
      <c r="A10" s="41" t="s">
        <v>74</v>
      </c>
    </row>
    <row r="11" customFormat="false" ht="15" hidden="false" customHeight="false" outlineLevel="0" collapsed="false">
      <c r="A11" s="41"/>
    </row>
    <row r="12" customFormat="false" ht="16.15" hidden="false" customHeight="false" outlineLevel="0" collapsed="false">
      <c r="A12" s="42" t="s">
        <v>75</v>
      </c>
    </row>
    <row r="13" customFormat="false" ht="15" hidden="false" customHeight="false" outlineLevel="0" collapsed="false">
      <c r="A13" s="41" t="s">
        <v>76</v>
      </c>
    </row>
    <row r="14" customFormat="false" ht="15" hidden="false" customHeight="false" outlineLevel="0" collapsed="false">
      <c r="A14" s="41" t="s">
        <v>77</v>
      </c>
    </row>
    <row r="15" customFormat="false" ht="15" hidden="false" customHeight="false" outlineLevel="0" collapsed="false">
      <c r="A15" s="41" t="s">
        <v>78</v>
      </c>
    </row>
    <row r="16" customFormat="false" ht="15" hidden="false" customHeight="false" outlineLevel="0" collapsed="false">
      <c r="A16" s="41" t="s">
        <v>79</v>
      </c>
    </row>
    <row r="17" customFormat="false" ht="15" hidden="false" customHeight="false" outlineLevel="0" collapsed="false">
      <c r="A17" s="41"/>
    </row>
    <row r="18" customFormat="false" ht="16.15" hidden="false" customHeight="false" outlineLevel="0" collapsed="false">
      <c r="A18" s="42" t="s">
        <v>80</v>
      </c>
    </row>
    <row r="19" customFormat="false" ht="15" hidden="false" customHeight="false" outlineLevel="0" collapsed="false">
      <c r="A19" s="41" t="s">
        <v>81</v>
      </c>
    </row>
    <row r="20" customFormat="false" ht="15" hidden="false" customHeight="false" outlineLevel="0" collapsed="false">
      <c r="A20" s="41" t="s">
        <v>82</v>
      </c>
    </row>
    <row r="21" customFormat="false" ht="15" hidden="false" customHeight="false" outlineLevel="0" collapsed="false">
      <c r="A21" s="41" t="s">
        <v>83</v>
      </c>
    </row>
    <row r="22" customFormat="false" ht="15" hidden="false" customHeight="false" outlineLevel="0" collapsed="false">
      <c r="A22" s="41" t="s">
        <v>84</v>
      </c>
    </row>
    <row r="23" customFormat="false" ht="15" hidden="false" customHeight="false" outlineLevel="0" collapsed="false">
      <c r="A23" s="41" t="s">
        <v>85</v>
      </c>
    </row>
    <row r="24" customFormat="false" ht="15" hidden="false" customHeight="false" outlineLevel="0" collapsed="false">
      <c r="A24" s="41"/>
    </row>
    <row r="25" customFormat="false" ht="16.15" hidden="false" customHeight="false" outlineLevel="0" collapsed="false">
      <c r="A25" s="42" t="s">
        <v>86</v>
      </c>
    </row>
    <row r="26" customFormat="false" ht="15" hidden="false" customHeight="false" outlineLevel="0" collapsed="false">
      <c r="A26" s="41" t="s">
        <v>87</v>
      </c>
    </row>
    <row r="27" customFormat="false" ht="15" hidden="false" customHeight="false" outlineLevel="0" collapsed="false">
      <c r="A27" s="41" t="s">
        <v>88</v>
      </c>
    </row>
    <row r="28" customFormat="false" ht="15" hidden="false" customHeight="false" outlineLevel="0" collapsed="false">
      <c r="A28" s="4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2026-05-21T00:57:08Z</dcterms:created>
  <dc:creator>openpyxl</dc:creator>
  <dc:description/>
  <dc:language>en-US</dc:language>
  <cp:lastModifiedBy/>
  <dcterms:modified xsi:type="dcterms:W3CDTF">2026-05-21T00:57:08Z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